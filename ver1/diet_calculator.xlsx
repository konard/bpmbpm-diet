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ькулятор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6B7280"/>
      <sz val="10"/>
    </font>
    <font>
      <b val="1"/>
      <color rgb="FF374151"/>
      <sz val="11"/>
    </font>
    <font>
      <sz val="11"/>
    </font>
    <font>
      <i val="1"/>
      <color rgb="FF6B7280"/>
      <sz val="9"/>
    </font>
    <font>
      <b val="1"/>
      <color rgb="FFFFFFFF"/>
      <sz val="13"/>
    </font>
    <font>
      <b val="1"/>
      <sz val="11"/>
    </font>
    <font>
      <b val="1"/>
      <color rgb="FF1E3A5F"/>
      <sz val="14"/>
    </font>
    <font>
      <b val="1"/>
      <sz val="13"/>
    </font>
    <font>
      <color rgb="FF6B7280"/>
      <sz val="10"/>
    </font>
    <font>
      <b val="1"/>
      <color rgb="FF1D4ED8"/>
      <sz val="9"/>
    </font>
    <font>
      <b val="1"/>
      <color rgb="FF166534"/>
      <sz val="9"/>
    </font>
    <font>
      <b val="1"/>
      <color rgb="FF713F12"/>
      <sz val="9"/>
    </font>
    <font>
      <b val="1"/>
      <color rgb="FF991B1B"/>
      <sz val="9"/>
    </font>
    <font>
      <b val="1"/>
      <color rgb="FFFFFFFF"/>
      <sz val="12"/>
    </font>
    <font>
      <b val="1"/>
      <color rgb="FF1E3A5F"/>
      <sz val="12"/>
    </font>
    <font>
      <b val="1"/>
      <color rgb="002C7BE5"/>
      <sz val="16"/>
    </font>
    <font>
      <sz val="10"/>
    </font>
    <font>
      <color rgb="FF15803D"/>
      <sz val="11"/>
    </font>
    <font>
      <color rgb="FFB91C1C"/>
      <sz val="11"/>
    </font>
    <font>
      <b val="1"/>
      <color rgb="FFFFFFFF"/>
      <sz val="14"/>
    </font>
  </fonts>
  <fills count="12">
    <fill>
      <patternFill/>
    </fill>
    <fill>
      <patternFill patternType="gray125"/>
    </fill>
    <fill>
      <patternFill patternType="solid">
        <fgColor rgb="FF2C7BE5"/>
      </patternFill>
    </fill>
    <fill>
      <patternFill patternType="solid">
        <fgColor rgb="FFE8F0FE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1A56AF"/>
      </patternFill>
    </fill>
    <fill>
      <patternFill patternType="solid">
        <fgColor rgb="FFBFDBFE"/>
      </patternFill>
    </fill>
    <fill>
      <patternFill patternType="solid">
        <fgColor rgb="FFBBF7D0"/>
      </patternFill>
    </fill>
    <fill>
      <patternFill patternType="solid">
        <fgColor rgb="FFFEF08A"/>
      </patternFill>
    </fill>
    <fill>
      <patternFill patternType="solid">
        <fgColor rgb="FFFECACA"/>
      </patternFill>
    </fill>
    <fill>
      <patternFill patternType="solid">
        <fgColor rgb="FFE8F4FD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2C7BE5"/>
      </left>
      <right style="medium">
        <color rgb="FF2C7BE5"/>
      </right>
      <top style="medium">
        <color rgb="FF2C7BE5"/>
      </top>
      <bottom style="medium">
        <color rgb="FF2C7BE5"/>
      </bottom>
    </border>
    <border>
      <left style="thin">
        <color rgb="FF2C7BE5"/>
      </left>
      <right style="thin">
        <color rgb="FF2C7BE5"/>
      </right>
      <top style="thin">
        <color rgb="FF2C7BE5"/>
      </top>
      <bottom style="thin">
        <color rgb="FF2C7BE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2" fontId="8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" fontId="16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7" fillId="11" borderId="0" applyAlignment="1" pivotButton="0" quotePrefix="0" xfId="0">
      <alignment vertical="center"/>
    </xf>
    <xf numFmtId="1" fontId="17" fillId="11" borderId="2" applyAlignment="1" pivotButton="0" quotePrefix="0" xfId="0">
      <alignment horizontal="center" vertical="center"/>
    </xf>
    <xf numFmtId="0" fontId="18" fillId="4" borderId="0" pivotButton="0" quotePrefix="0" xfId="0"/>
    <xf numFmtId="1" fontId="19" fillId="0" borderId="0" applyAlignment="1" pivotButton="0" quotePrefix="0" xfId="0">
      <alignment horizontal="center"/>
    </xf>
    <xf numFmtId="1" fontId="2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1" fillId="2" borderId="0" applyAlignment="1" pivotButton="0" quotePrefix="0" xfId="0">
      <alignment horizontal="center" vertical="center"/>
    </xf>
    <xf numFmtId="0" fontId="1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4">
    <dxf>
      <font>
        <b val="1"/>
        <color rgb="FF1D4ED8"/>
        <sz val="13"/>
      </font>
      <fill>
        <patternFill patternType="solid">
          <fgColor rgb="FFDBEAFE"/>
        </patternFill>
      </fill>
    </dxf>
    <dxf>
      <font>
        <b val="1"/>
        <color rgb="FF15803D"/>
        <sz val="13"/>
      </font>
      <fill>
        <patternFill patternType="solid">
          <fgColor rgb="FFDCFCE7"/>
        </patternFill>
      </fill>
    </dxf>
    <dxf>
      <font>
        <b val="1"/>
        <color rgb="FF854D0E"/>
        <sz val="13"/>
      </font>
      <fill>
        <patternFill patternType="solid">
          <fgColor rgb="FFFEF9C3"/>
        </patternFill>
      </fill>
    </dxf>
    <dxf>
      <font>
        <b val="1"/>
        <color rgb="FFB91C1C"/>
        <sz val="13"/>
      </font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22" customWidth="1" min="3" max="3"/>
  </cols>
  <sheetData>
    <row r="1" ht="40" customHeight="1">
      <c r="A1" s="1" t="inlineStr">
        <is>
          <t>Калькулятор диеты — ИМТ и суточная норма калорий</t>
        </is>
      </c>
    </row>
    <row r="2" ht="20" customHeight="1">
      <c r="A2" s="2" t="inlineStr">
        <is>
          <t>Заполните поля B4:B8, результаты рассчитаются автоматически</t>
        </is>
      </c>
    </row>
    <row r="3" ht="8" customHeight="1"/>
    <row r="4" ht="22" customHeight="1">
      <c r="A4" s="3" t="inlineStr">
        <is>
          <t>Пол</t>
        </is>
      </c>
      <c r="B4" s="4" t="inlineStr">
        <is>
          <t>Мужской</t>
        </is>
      </c>
      <c r="C4" s="5" t="inlineStr">
        <is>
          <t>Выберите из списка ▼</t>
        </is>
      </c>
    </row>
    <row r="5" ht="22" customHeight="1">
      <c r="A5" s="3" t="inlineStr">
        <is>
          <t>Возраст, лет (13–80)</t>
        </is>
      </c>
      <c r="B5" s="4" t="n">
        <v>30</v>
      </c>
    </row>
    <row r="6" ht="22" customHeight="1">
      <c r="A6" s="3" t="inlineStr">
        <is>
          <t>Рост, см (100–250)</t>
        </is>
      </c>
      <c r="B6" s="4" t="n">
        <v>175</v>
      </c>
    </row>
    <row r="7" ht="22" customHeight="1">
      <c r="A7" s="3" t="inlineStr">
        <is>
          <t>Вес, кг (20–300)</t>
        </is>
      </c>
      <c r="B7" s="4" t="n">
        <v>70</v>
      </c>
    </row>
    <row r="8" ht="22" customHeight="1">
      <c r="A8" s="3" t="inlineStr">
        <is>
          <t>Физическая активность</t>
        </is>
      </c>
      <c r="B8" s="4" t="inlineStr">
        <is>
          <t>Минимальная (1.2)</t>
        </is>
      </c>
      <c r="C8" s="5" t="inlineStr">
        <is>
          <t>Выберите из списка ▼</t>
        </is>
      </c>
    </row>
    <row r="9" ht="10" customHeight="1"/>
    <row r="10" ht="28" customHeight="1">
      <c r="A10" s="6" t="inlineStr">
        <is>
          <t>РЕЗУЛЬТАТЫ</t>
        </is>
      </c>
    </row>
    <row r="12" ht="28" customHeight="1">
      <c r="A12" s="7" t="inlineStr">
        <is>
          <t>Индекс массы тела (ИМТ)</t>
        </is>
      </c>
      <c r="B12" s="8">
        <f>IF(AND(ISNUMBER(B6),ISNUMBER(B7),B6&gt;0),B7/((B6/100)^2),"Введите данные")</f>
        <v/>
      </c>
      <c r="C12" s="9">
        <f> вес / рост²(м)</f>
        <v/>
      </c>
    </row>
    <row r="13" ht="26" customHeight="1">
      <c r="A13" s="7" t="inlineStr">
        <is>
          <t>Категория ИМТ</t>
        </is>
      </c>
      <c r="B13" s="10">
        <f>IF(ISNUMBER(B12),IF(B12&lt;18.5,"Дефицит",IF(B12&lt;25,"Норма",IF(B12&lt;30,"Избыток","Ожирение"))),"—")</f>
        <v/>
      </c>
    </row>
    <row r="14" ht="22" customHeight="1">
      <c r="A14" s="11" t="inlineStr">
        <is>
          <t>Шкала ИМТ:</t>
        </is>
      </c>
      <c r="B14" s="12" t="inlineStr">
        <is>
          <t>Дефицит &lt; 18.5</t>
        </is>
      </c>
      <c r="C14" s="13" t="inlineStr">
        <is>
          <t>Норма 18.5–25</t>
        </is>
      </c>
    </row>
    <row r="15" ht="22" customHeight="1">
      <c r="A15" t="inlineStr"/>
      <c r="B15" s="14" t="inlineStr">
        <is>
          <t>Избыток 25–30</t>
        </is>
      </c>
      <c r="C15" s="15" t="inlineStr">
        <is>
          <t>Ожирение &gt; 30</t>
        </is>
      </c>
    </row>
    <row r="16" ht="10" customHeight="1"/>
    <row r="17" ht="24" customHeight="1">
      <c r="A17" s="16" t="inlineStr">
        <is>
          <t>Суточная норма калорий (формула Миффлина-Сан Жеора)</t>
        </is>
      </c>
    </row>
    <row r="18" ht="22" customHeight="1">
      <c r="A18" s="7" t="inlineStr">
        <is>
          <t>Коэффициент активности</t>
        </is>
      </c>
      <c r="B18" s="17">
        <f>IF(ISNUMBER(FIND("1.9",B8)),1.9,IF(ISNUMBER(FIND("1.7",B8)),1.7,IF(ISNUMBER(FIND("1.55",B8)),1.55,IF(ISNUMBER(FIND("1.375",B8)),1.375,1.2))))</f>
        <v/>
      </c>
    </row>
    <row r="19" ht="26" customHeight="1">
      <c r="A19" s="7" t="inlineStr">
        <is>
          <t>Базовый обмен веществ, ккал/сут</t>
        </is>
      </c>
      <c r="B19" s="18">
        <f>IF(AND(ISNUMBER(B5),ISNUMBER(B6),ISNUMBER(B7)),IF(B4="Мужской",10*B7+6.25*B6-5*B5+5,10*B7+6.25*B6-5*B5-161),"Введите данные")</f>
        <v/>
      </c>
      <c r="C19" s="19" t="inlineStr">
        <is>
          <t>ккал/сут</t>
        </is>
      </c>
    </row>
    <row r="20" ht="30" customHeight="1">
      <c r="A20" s="20" t="inlineStr">
        <is>
          <t>Суточная норма (с активностью), ккал/сут</t>
        </is>
      </c>
      <c r="B20" s="21">
        <f>IF(ISNUMBER(B19),ROUND(B19*B18,0),"—")</f>
        <v/>
      </c>
      <c r="C20" s="19" t="inlineStr">
        <is>
          <t>ккал/сут</t>
        </is>
      </c>
    </row>
    <row r="21" ht="10" customHeight="1"/>
    <row r="22" ht="22" customHeight="1">
      <c r="A22" s="22" t="inlineStr">
        <is>
          <t>Для снижения веса (дефицит 20%)</t>
        </is>
      </c>
      <c r="B22" s="23">
        <f>IF(ISNUMBER(B20),ROUND(B20*0.8,0),"—")</f>
        <v/>
      </c>
      <c r="C22" s="19" t="inlineStr">
        <is>
          <t>ккал/сут</t>
        </is>
      </c>
    </row>
    <row r="23" ht="22" customHeight="1">
      <c r="A23" s="22" t="inlineStr">
        <is>
          <t>Для набора веса (профицит 20%)</t>
        </is>
      </c>
      <c r="B23" s="24">
        <f>IF(ISNUMBER(B20),ROUND(B20*1.2,0),"—")</f>
        <v/>
      </c>
      <c r="C23" s="19" t="inlineStr">
        <is>
          <t>ккал/сут</t>
        </is>
      </c>
    </row>
    <row r="24" ht="12" customHeight="1"/>
    <row r="25" ht="18" customHeight="1">
      <c r="A25" s="25" t="inlineStr">
        <is>
          <t>Источники: calcus.ru/calculator-imt | calculatorium.net/body/mifflin-st-jeor-equation</t>
        </is>
      </c>
    </row>
  </sheetData>
  <mergeCells count="5">
    <mergeCell ref="A10:C10"/>
    <mergeCell ref="A25:C25"/>
    <mergeCell ref="A1:C1"/>
    <mergeCell ref="A17:C17"/>
    <mergeCell ref="A2:C2"/>
  </mergeCells>
  <conditionalFormatting sqref="B13">
    <cfRule type="expression" priority="1" dxfId="0">
      <formula>B13="Дефицит"</formula>
    </cfRule>
    <cfRule type="expression" priority="2" dxfId="1">
      <formula>B13="Норма"</formula>
    </cfRule>
    <cfRule type="expression" priority="3" dxfId="2">
      <formula>B13="Избыток"</formula>
    </cfRule>
    <cfRule type="expression" priority="4" dxfId="3">
      <formula>B13="Ожирение"</formula>
    </cfRule>
  </conditionalFormatting>
  <dataValidations count="5">
    <dataValidation sqref="B4" showDropDown="0" showInputMessage="0" showErrorMessage="1" allowBlank="0" errorTitle="Неверное значение" error="Выберите «Мужской» или «Женский»" type="list">
      <formula1>"Мужской,Женский"</formula1>
    </dataValidation>
    <dataValidation sqref="B5" showDropDown="0" showInputMessage="0" showErrorMessage="1" allowBlank="0" errorTitle="Неверный возраст" error="Введите целое число от 13 до 80" type="whole" operator="between">
      <formula1>13</formula1>
      <formula2>80</formula2>
    </dataValidation>
    <dataValidation sqref="B6" showDropDown="0" showInputMessage="0" showErrorMessage="1" allowBlank="0" errorTitle="Неверный рост" error="Введите число от 100 до 250" type="decimal" operator="between">
      <formula1>100</formula1>
      <formula2>250</formula2>
    </dataValidation>
    <dataValidation sqref="B7" showDropDown="0" showInputMessage="0" showErrorMessage="1" allowBlank="0" errorTitle="Неверный вес" error="Введите число от 20 до 300" type="decimal" operator="between">
      <formula1>20</formula1>
      <formula2>300</formula2>
    </dataValidation>
    <dataValidation sqref="B8" showDropDown="0" showInputMessage="0" showErrorMessage="1" allowBlank="0" type="list">
      <formula1>"Минимальная (1.2),Слабая (1.375),Умеренная (1.55),Высокая (1.7),Экстремальная (1.9)"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2" customHeight="1">
      <c r="A1" s="26" t="inlineStr">
        <is>
          <t>Справка по формулам калькулятора диеты</t>
        </is>
      </c>
    </row>
    <row r="2" ht="18" customHeight="1">
      <c r="A2" s="27" t="inlineStr"/>
      <c r="B2" s="27" t="inlineStr"/>
    </row>
    <row r="3" ht="18" customHeight="1">
      <c r="A3" s="28" t="inlineStr">
        <is>
          <t>ИМТ (формула)</t>
        </is>
      </c>
      <c r="B3" s="27" t="inlineStr">
        <is>
          <t>ИМТ = вес(кг) / рост²(м)</t>
        </is>
      </c>
    </row>
    <row r="4" ht="18" customHeight="1">
      <c r="A4" s="27" t="inlineStr"/>
      <c r="B4" s="27" t="inlineStr">
        <is>
          <t>Пример: 70 кг, 175 см → 70 / 1.75² = 22.86</t>
        </is>
      </c>
    </row>
    <row r="5" ht="18" customHeight="1">
      <c r="A5" s="27" t="inlineStr"/>
      <c r="B5" s="27" t="inlineStr"/>
    </row>
    <row r="6" ht="18" customHeight="1">
      <c r="A6" s="28" t="inlineStr">
        <is>
          <t>Категории ИМТ</t>
        </is>
      </c>
      <c r="B6" s="27" t="inlineStr"/>
    </row>
    <row r="7" ht="18" customHeight="1">
      <c r="A7" s="27" t="inlineStr">
        <is>
          <t>&lt; 18.5</t>
        </is>
      </c>
      <c r="B7" s="27" t="inlineStr">
        <is>
          <t>Дефицит массы тела</t>
        </is>
      </c>
    </row>
    <row r="8" ht="18" customHeight="1">
      <c r="A8" s="27" t="inlineStr">
        <is>
          <t>18.5 – 25.0</t>
        </is>
      </c>
      <c r="B8" s="27" t="inlineStr">
        <is>
          <t>Норма</t>
        </is>
      </c>
    </row>
    <row r="9" ht="18" customHeight="1">
      <c r="A9" s="27" t="inlineStr">
        <is>
          <t>25.0 – 30.0</t>
        </is>
      </c>
      <c r="B9" s="27" t="inlineStr">
        <is>
          <t>Избыток (предожирение)</t>
        </is>
      </c>
    </row>
    <row r="10" ht="18" customHeight="1">
      <c r="A10" s="27" t="inlineStr">
        <is>
          <t>&gt; 30.0</t>
        </is>
      </c>
      <c r="B10" s="27" t="inlineStr">
        <is>
          <t>Ожирение</t>
        </is>
      </c>
    </row>
    <row r="11" ht="18" customHeight="1">
      <c r="A11" s="27" t="inlineStr"/>
      <c r="B11" s="27" t="inlineStr"/>
    </row>
    <row r="12" ht="18" customHeight="1">
      <c r="A12" s="27" t="inlineStr">
        <is>
          <t>Миффлин-Сан Жеор</t>
        </is>
      </c>
      <c r="B12" s="27" t="inlineStr">
        <is>
          <t>Базовый обмен (без активности):</t>
        </is>
      </c>
    </row>
    <row r="13" ht="18" customHeight="1">
      <c r="A13" s="27" t="inlineStr">
        <is>
          <t>Мужчины</t>
        </is>
      </c>
      <c r="B13" s="27" t="inlineStr">
        <is>
          <t>10 × вес + 6.25 × рост − 5 × возраст + 5</t>
        </is>
      </c>
    </row>
    <row r="14" ht="18" customHeight="1">
      <c r="A14" s="27" t="inlineStr">
        <is>
          <t>Женщины</t>
        </is>
      </c>
      <c r="B14" s="27" t="inlineStr">
        <is>
          <t>10 × вес + 6.25 × рост − 5 × возраст − 161</t>
        </is>
      </c>
    </row>
    <row r="15" ht="18" customHeight="1">
      <c r="A15" s="27" t="inlineStr"/>
      <c r="B15" s="27" t="inlineStr"/>
    </row>
    <row r="16" ht="18" customHeight="1">
      <c r="A16" s="28" t="inlineStr">
        <is>
          <t>С учётом активности</t>
        </is>
      </c>
      <c r="B16" s="27" t="inlineStr">
        <is>
          <t>Базовый обмен × коэффициент A</t>
        </is>
      </c>
    </row>
    <row r="17" ht="18" customHeight="1">
      <c r="A17" s="27" t="inlineStr">
        <is>
          <t>A = 1.2</t>
        </is>
      </c>
      <c r="B17" s="27" t="inlineStr">
        <is>
          <t>Минимальная активность (сидячая работа)</t>
        </is>
      </c>
    </row>
    <row r="18" ht="18" customHeight="1">
      <c r="A18" s="27" t="inlineStr">
        <is>
          <t>A = 1.375</t>
        </is>
      </c>
      <c r="B18" s="27" t="inlineStr">
        <is>
          <t>Слабая активность (упражнения 1–3 раза/нед)</t>
        </is>
      </c>
    </row>
    <row r="19" ht="18" customHeight="1">
      <c r="A19" s="27" t="inlineStr">
        <is>
          <t>A = 1.55</t>
        </is>
      </c>
      <c r="B19" s="27" t="inlineStr">
        <is>
          <t>Умеренная активность (3–4 раза/нед)</t>
        </is>
      </c>
    </row>
    <row r="20" ht="18" customHeight="1">
      <c r="A20" s="27" t="inlineStr">
        <is>
          <t>A = 1.7</t>
        </is>
      </c>
      <c r="B20" s="27" t="inlineStr">
        <is>
          <t>Высокая активность (5–7 дней/нед)</t>
        </is>
      </c>
    </row>
    <row r="21" ht="18" customHeight="1">
      <c r="A21" s="27" t="inlineStr">
        <is>
          <t>A = 1.9</t>
        </is>
      </c>
      <c r="B21" s="27" t="inlineStr">
        <is>
          <t>Экстремальная активность</t>
        </is>
      </c>
    </row>
    <row r="22" ht="18" customHeight="1">
      <c r="A22" s="27" t="inlineStr"/>
      <c r="B22" s="27" t="inlineStr"/>
    </row>
    <row r="23" ht="18" customHeight="1">
      <c r="A23" s="28" t="inlineStr">
        <is>
          <t>Примечание</t>
        </is>
      </c>
      <c r="B23" s="27" t="inlineStr">
        <is>
          <t>Формула актуальна для возраста 13–80 лет.</t>
        </is>
      </c>
    </row>
    <row r="24" ht="18" customHeight="1">
      <c r="A24" s="27" t="inlineStr"/>
      <c r="B24" s="27" t="inlineStr">
        <is>
          <t>Результат является приблизительным.</t>
        </is>
      </c>
    </row>
    <row r="25" ht="18" customHeight="1">
      <c r="A25" s="27" t="inlineStr"/>
      <c r="B25" s="27" t="inlineStr">
        <is>
          <t>Рекомендуется консультация врача-диетолога.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2026-03-25T10:53:09Z</dcterms:created>
  <dcterms:modified xsi:type="dcterms:W3CDTF">2026-03-25T10:53:09Z</dcterms:modified>
</cp:coreProperties>
</file>